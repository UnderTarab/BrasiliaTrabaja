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646bc9a35441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esupuesto" sheetId="1" r:id="R7c046f57472d4844"/>
    <x:sheet xmlns:r="http://schemas.openxmlformats.org/officeDocument/2006/relationships" name="Resumen" sheetId="2" r:id="Re561614b6c9343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%"/>
    <x:numFmt numFmtId="202" formatCode="&quot;$&quot;#,##0;[Red](&quot;$&quot;#,##0);-"/>
    <x:numFmt numFmtId="203" formatCode="0.0%"/>
  </x:numFmts>
  <x:fonts count="9">
    <x:font>
      <x:sz val="11"/>
      <x:name val="Carlito"/>
    </x:font>
    <x:font>
      <x:b/>
      <x:sz val="18"/>
      <x:color rgb="FFFFFFFF"/>
      <x:name val="Carlito"/>
    </x:font>
    <x:font>
      <x:i/>
      <x:sz val="11"/>
      <x:color rgb="FF4B3158"/>
      <x:name val="Carlito"/>
    </x:font>
    <x:font>
      <x:b/>
      <x:sz val="11"/>
      <x:color rgb="FF25313A"/>
      <x:name val="Carlito"/>
    </x:font>
    <x:font>
      <x:b/>
      <x:sz val="11"/>
      <x:color rgb="FF4B3158"/>
      <x:name val="Carlito"/>
    </x:font>
    <x:font>
      <x:b/>
      <x:sz val="12"/>
      <x:color rgb="FFFFFFFF"/>
      <x:name val="Carlito"/>
    </x:font>
    <x:font>
      <x:i/>
      <x:sz val="10"/>
      <x:color rgb="FF6B625A"/>
      <x:name val="Carlito"/>
    </x:font>
    <x:font>
      <x:sz val="12"/>
      <x:color rgb="FF4B3158"/>
      <x:name val="Carlito"/>
    </x:font>
    <x:font>
      <x:b/>
      <x:sz val="14"/>
      <x:color rgb="FFFFFFFF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5A3475"/>
      </x:patternFill>
    </x:fill>
    <x:fill>
      <x:patternFill patternType="solid">
        <x:fgColor rgb="FFEFE3F6"/>
      </x:patternFill>
    </x:fill>
    <x:fill>
      <x:patternFill patternType="solid">
        <x:fgColor rgb="FFD9E8F1"/>
      </x:patternFill>
    </x:fill>
    <x:fill>
      <x:patternFill patternType="solid">
        <x:fgColor rgb="FFFFFDF8"/>
      </x:patternFill>
    </x:fill>
    <x:fill>
      <x:patternFill patternType="solid">
        <x:fgColor rgb="FFFFF2CC"/>
      </x:patternFill>
    </x:fill>
    <x:fill>
      <x:patternFill patternType="solid">
        <x:fgColor rgb="FFF1E6F7"/>
      </x:patternFill>
    </x:fill>
    <x:fill>
      <x:patternFill patternType="solid">
        <x:fgColor rgb="FFF7EBCF"/>
      </x:patternFill>
    </x:fill>
    <x:fill>
      <x:patternFill patternType="solid">
        <x:fgColor rgb="FFF4EFE6"/>
      </x:patternFill>
    </x:fill>
    <x:fill>
      <x:patternFill patternType="solid">
        <x:fgColor rgb="FFFFF8E9"/>
      </x:patternFill>
    </x:fill>
  </x:fills>
  <x:borders count="17">
    <x:border/>
    <x:border>
      <x:left style="medium">
        <x:color rgb="FF9CB6C5"/>
      </x:left>
      <x:top style="medium">
        <x:color rgb="FF9CB6C5"/>
      </x:top>
      <x:bottom style="medium">
        <x:color rgb="FF9CB6C5"/>
      </x:bottom>
    </x:border>
    <x:border>
      <x:top style="medium">
        <x:color rgb="FF9CB6C5"/>
      </x:top>
      <x:bottom style="medium">
        <x:color rgb="FF9CB6C5"/>
      </x:bottom>
    </x:border>
    <x:border>
      <x:right style="medium">
        <x:color rgb="FF9CB6C5"/>
      </x:right>
      <x:top style="medium">
        <x:color rgb="FF9CB6C5"/>
      </x:top>
      <x:bottom style="medium">
        <x:color rgb="FF9CB6C5"/>
      </x:bottom>
    </x:border>
    <x:border>
      <x:bottom style="thin">
        <x:color rgb="FFE6DED0"/>
      </x:bottom>
    </x:border>
    <x:border>
      <x:top style="thin">
        <x:color rgb="FFE6DED0"/>
      </x:top>
      <x:bottom style="thin">
        <x:color rgb="FFE6DED0"/>
      </x:bottom>
    </x:border>
    <x:border>
      <x:top style="medium">
        <x:color rgb="FFB58C57"/>
      </x:top>
      <x:bottom style="thin">
        <x:color rgb="FFB58C57"/>
      </x:bottom>
    </x:border>
    <x:border>
      <x:left style="medium">
        <x:color rgb="FF3D224F"/>
      </x:left>
      <x:top style="medium">
        <x:color rgb="FF3D224F"/>
      </x:top>
      <x:bottom style="medium">
        <x:color rgb="FF3D224F"/>
      </x:bottom>
    </x:border>
    <x:border>
      <x:top style="medium">
        <x:color rgb="FF3D224F"/>
      </x:top>
      <x:bottom style="medium">
        <x:color rgb="FF3D224F"/>
      </x:bottom>
    </x:border>
    <x:border>
      <x:right style="medium">
        <x:color rgb="FF3D224F"/>
      </x:right>
      <x:top style="medium">
        <x:color rgb="FF3D224F"/>
      </x:top>
      <x:bottom style="medium">
        <x:color rgb="FF3D224F"/>
      </x:bottom>
    </x:border>
    <x:border>
      <x:left style="thin">
        <x:color rgb="FFD9C8DC"/>
      </x:left>
      <x:top style="thin">
        <x:color rgb="FFD9C8DC"/>
      </x:top>
    </x:border>
    <x:border>
      <x:top style="thin">
        <x:color rgb="FFD9C8DC"/>
      </x:top>
    </x:border>
    <x:border>
      <x:right style="thin">
        <x:color rgb="FFD9C8DC"/>
      </x:right>
      <x:top style="thin">
        <x:color rgb="FFD9C8DC"/>
      </x:top>
    </x:border>
    <x:border>
      <x:left style="thin">
        <x:color rgb="FFD9C8DC"/>
      </x:left>
      <x:bottom style="thin">
        <x:color rgb="FFD9C8DC"/>
      </x:bottom>
    </x:border>
    <x:border>
      <x:bottom style="thin">
        <x:color rgb="FFD9C8DC"/>
      </x:bottom>
    </x:border>
    <x:border>
      <x:right style="thin">
        <x:color rgb="FFD9C8DC"/>
      </x:right>
      <x:bottom style="thin">
        <x:color rgb="FFD9C8DC"/>
      </x:bottom>
    </x:border>
    <x:border>
      <x:top style="thin">
        <x:color rgb="FFE6DED0"/>
      </x:top>
    </x:border>
  </x:borders>
  <x:cellStyleXfs count="1">
    <x:xf numFmtId="0" fontId="0" fillId="0" borderId="0"/>
  </x:cellStyleXfs>
  <x:cellXfs count="10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borderId="4" xfId="0" applyNumberFormat="1" applyFont="1" applyFill="1" applyBorder="1" applyAlignment="1">
      <x:alignment vertical="center"/>
    </x:xf>
    <x:xf numFmtId="0" fontId="0" fillId="5" borderId="5" xfId="0" applyNumberFormat="1" applyFont="1" applyFill="1" applyBorder="1" applyAlignment="1">
      <x:alignment vertical="center"/>
    </x:xf>
    <x:xf numFmtId="0" fontId="0" fillId="6" borderId="4" xfId="0" applyNumberFormat="1" applyFont="1" applyFill="1" applyBorder="1" applyAlignment="1">
      <x:alignment vertical="center"/>
    </x:xf>
    <x:xf numFmtId="0" fontId="0" fillId="6" borderId="5" xfId="0" applyNumberFormat="1" applyFont="1" applyFill="1" applyBorder="1" applyAlignment="1">
      <x:alignment vertical="center"/>
    </x:xf>
    <x:xf numFmtId="0" fontId="0" fillId="7" borderId="4" xfId="0" applyNumberFormat="1" applyFont="1" applyFill="1" applyBorder="1" applyAlignment="1">
      <x:alignment vertical="center"/>
    </x:xf>
    <x:xf numFmtId="0" fontId="0" fillId="7" borderId="5" xfId="0" applyNumberFormat="1" applyFont="1" applyFill="1" applyBorder="1" applyAlignment="1">
      <x:alignment vertical="center"/>
    </x:xf>
    <x:xf numFmtId="0" fontId="0" fillId="8" borderId="5" xfId="0" applyNumberFormat="1" applyFont="1" applyFill="1" applyBorder="1" applyAlignment="1">
      <x:alignment vertical="center"/>
    </x:xf>
    <x:xf numFmtId="0" fontId="4" fillId="8" borderId="5" xfId="0" applyNumberFormat="1" applyFont="1" applyFill="1" applyBorder="1" applyAlignment="1">
      <x:alignment vertical="center"/>
    </x:xf>
    <x:xf numFmtId="0" fontId="4" fillId="8" borderId="6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/>
    <x:xf numFmtId="0" fontId="5" fillId="2" borderId="7" xfId="0" applyNumberFormat="1" applyFont="1" applyFill="1" applyBorder="1"/>
    <x:xf numFmtId="0" fontId="5" fillId="2" borderId="8" xfId="0" applyNumberFormat="1" applyFont="1" applyFill="1" applyBorder="1"/>
    <x:xf numFmtId="0" fontId="5" fillId="2" borderId="9" xfId="0" applyNumberFormat="1" applyFont="1" applyFill="1" applyBorder="1"/>
    <x:xf numFmtId="0" fontId="5" fillId="2" borderId="7" xfId="0" applyNumberFormat="1" applyFont="1" applyFill="1" applyBorder="1" applyAlignment="1">
      <x:alignment vertical="center"/>
    </x:xf>
    <x:xf numFmtId="0" fontId="5" fillId="2" borderId="8" xfId="0" applyNumberFormat="1" applyFont="1" applyFill="1" applyBorder="1" applyAlignment="1">
      <x:alignment vertical="center"/>
    </x:xf>
    <x:xf numFmtId="0" fontId="5" fillId="2" borderId="9" xfId="0" applyNumberFormat="1" applyFont="1" applyFill="1" applyBorder="1" applyAlignment="1">
      <x:alignment vertical="center"/>
    </x:xf>
    <x:xf numFmtId="0" fontId="5" fillId="2" borderId="7" xfId="0" applyNumberFormat="1" applyFont="1" applyFill="1" applyBorder="1" applyAlignment="1">
      <x:alignment horizontal="right" vertical="center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wrapText="1"/>
    </x:xf>
    <x:xf numFmtId="0" fontId="6" fillId="9" borderId="0" xfId="0" applyNumberFormat="1" applyFont="1" applyFill="1" applyBorder="1" applyAlignment="1">
      <x:alignment vertical="center" wrapText="1"/>
    </x:xf>
    <x:xf numFmtId="200" fontId="0" fillId="6" borderId="4" xfId="0" applyNumberFormat="1" applyFont="1" applyFill="1" applyBorder="1" applyAlignment="1">
      <x:alignment vertical="center"/>
    </x:xf>
    <x:xf numFmtId="200" fontId="0" fillId="6" borderId="5" xfId="0" applyNumberFormat="1" applyFont="1" applyFill="1" applyBorder="1" applyAlignment="1">
      <x:alignment vertical="center"/>
    </x:xf>
    <x:xf numFmtId="201" fontId="4" fillId="8" borderId="6" xfId="0" applyNumberFormat="1" applyFont="1" applyFill="1" applyBorder="1" applyAlignment="1">
      <x:alignment vertical="center"/>
    </x:xf>
    <x:xf numFmtId="202" fontId="0" fillId="6" borderId="4" xfId="0" applyNumberFormat="1" applyFont="1" applyFill="1" applyBorder="1" applyAlignment="1">
      <x:alignment vertical="center"/>
    </x:xf>
    <x:xf numFmtId="202" fontId="0" fillId="7" borderId="4" xfId="0" applyNumberFormat="1" applyFont="1" applyFill="1" applyBorder="1" applyAlignment="1">
      <x:alignment vertical="center"/>
    </x:xf>
    <x:xf numFmtId="202" fontId="0" fillId="6" borderId="5" xfId="0" applyNumberFormat="1" applyFont="1" applyFill="1" applyBorder="1" applyAlignment="1">
      <x:alignment vertical="center"/>
    </x:xf>
    <x:xf numFmtId="202" fontId="0" fillId="7" borderId="5" xfId="0" applyNumberFormat="1" applyFont="1" applyFill="1" applyBorder="1" applyAlignment="1">
      <x:alignment vertical="center"/>
    </x:xf>
    <x:xf numFmtId="202" fontId="4" fillId="8" borderId="6" xfId="0" applyNumberFormat="1" applyFont="1" applyFill="1" applyBorder="1" applyAlignment="1">
      <x:alignment vertical="center"/>
    </x:xf>
    <x:xf numFmtId="202" fontId="5" fillId="2" borderId="8" xfId="0" applyNumberFormat="1" applyFont="1" applyFill="1" applyBorder="1" applyAlignment="1">
      <x:alignment vertical="center"/>
    </x:xf>
    <x:xf numFmtId="0" fontId="0" fillId="5" borderId="4" xfId="0" applyNumberFormat="1" applyFont="1" applyFill="1" applyBorder="1" applyAlignment="1">
      <x:alignment vertical="center" wrapText="1"/>
    </x:xf>
    <x:xf numFmtId="0" fontId="0" fillId="5" borderId="5" xfId="0" applyNumberFormat="1" applyFont="1" applyFill="1" applyBorder="1" applyAlignment="1">
      <x:alignment vertical="center" wrapText="1"/>
    </x:xf>
    <x:xf numFmtId="0" fontId="4" fillId="8" borderId="6" xfId="0" applyNumberFormat="1" applyFont="1" applyFill="1" applyBorder="1" applyAlignment="1">
      <x:alignment vertical="center" wrapText="1"/>
    </x:xf>
    <x:xf numFmtId="0" fontId="5" fillId="2" borderId="7" xfId="0" applyNumberFormat="1" applyFont="1" applyFill="1" applyBorder="1" applyAlignment="1">
      <x:alignment horizontal="right" vertical="center" wrapText="1"/>
    </x:xf>
    <x:xf numFmtId="0" fontId="5" fillId="2" borderId="8" xfId="0" applyNumberFormat="1" applyFont="1" applyFill="1" applyBorder="1" applyAlignment="1">
      <x:alignment vertical="center" wrapText="1"/>
    </x:xf>
    <x:xf numFmtId="0" fontId="5" fillId="2" borderId="9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7" fillId="10" borderId="0" xfId="0" applyNumberFormat="1" applyFont="1" applyFill="1" applyBorder="1"/>
    <x:xf numFmtId="0" fontId="7" fillId="10" borderId="10" xfId="0" applyNumberFormat="1" applyFont="1" applyFill="1" applyBorder="1"/>
    <x:xf numFmtId="0" fontId="7" fillId="10" borderId="11" xfId="0" applyNumberFormat="1" applyFont="1" applyFill="1" applyBorder="1"/>
    <x:xf numFmtId="0" fontId="7" fillId="10" borderId="12" xfId="0" applyNumberFormat="1" applyFont="1" applyFill="1" applyBorder="1"/>
    <x:xf numFmtId="0" fontId="7" fillId="10" borderId="13" xfId="0" applyNumberFormat="1" applyFont="1" applyFill="1" applyBorder="1"/>
    <x:xf numFmtId="0" fontId="7" fillId="10" borderId="14" xfId="0" applyNumberFormat="1" applyFont="1" applyFill="1" applyBorder="1"/>
    <x:xf numFmtId="0" fontId="7" fillId="10" borderId="15" xfId="0" applyNumberFormat="1" applyFont="1" applyFill="1" applyBorder="1"/>
    <x:xf numFmtId="0" fontId="7" fillId="10" borderId="10" xfId="0" applyNumberFormat="1" applyFont="1" applyFill="1" applyBorder="1" applyAlignment="1">
      <x:alignment vertical="center"/>
    </x:xf>
    <x:xf numFmtId="0" fontId="7" fillId="10" borderId="11" xfId="0" applyNumberFormat="1" applyFont="1" applyFill="1" applyBorder="1" applyAlignment="1">
      <x:alignment vertical="center"/>
    </x:xf>
    <x:xf numFmtId="0" fontId="7" fillId="10" borderId="12" xfId="0" applyNumberFormat="1" applyFont="1" applyFill="1" applyBorder="1" applyAlignment="1">
      <x:alignment vertical="center"/>
    </x:xf>
    <x:xf numFmtId="0" fontId="7" fillId="10" borderId="13" xfId="0" applyNumberFormat="1" applyFont="1" applyFill="1" applyBorder="1" applyAlignment="1">
      <x:alignment vertical="center"/>
    </x:xf>
    <x:xf numFmtId="0" fontId="7" fillId="10" borderId="14" xfId="0" applyNumberFormat="1" applyFont="1" applyFill="1" applyBorder="1" applyAlignment="1">
      <x:alignment vertical="center"/>
    </x:xf>
    <x:xf numFmtId="0" fontId="7" fillId="10" borderId="15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/>
    <x:xf numFmtId="0" fontId="8" fillId="2" borderId="7" xfId="0" applyNumberFormat="1" applyFont="1" applyFill="1" applyBorder="1"/>
    <x:xf numFmtId="0" fontId="8" fillId="2" borderId="8" xfId="0" applyNumberFormat="1" applyFont="1" applyFill="1" applyBorder="1"/>
    <x:xf numFmtId="0" fontId="8" fillId="2" borderId="9" xfId="0" applyNumberFormat="1" applyFont="1" applyFill="1" applyBorder="1"/>
    <x:xf numFmtId="0" fontId="8" fillId="2" borderId="7" xfId="0" applyNumberFormat="1" applyFont="1" applyFill="1" applyBorder="1" applyAlignment="1">
      <x:alignment vertical="center"/>
    </x:xf>
    <x:xf numFmtId="0" fontId="8" fillId="2" borderId="8" xfId="0" applyNumberFormat="1" applyFont="1" applyFill="1" applyBorder="1" applyAlignment="1">
      <x:alignment vertical="center"/>
    </x:xf>
    <x:xf numFmtId="0" fontId="8" fillId="2" borderId="9" xfId="0" applyNumberFormat="1" applyFont="1" applyFill="1" applyBorder="1" applyAlignment="1">
      <x:alignment vertical="center"/>
    </x:xf>
    <x:xf numFmtId="0" fontId="7" fillId="10" borderId="11" xfId="0" applyNumberFormat="1" applyFont="1" applyFill="1" applyBorder="1" applyAlignment="1">
      <x:alignment horizontal="right" vertical="center"/>
    </x:xf>
    <x:xf numFmtId="0" fontId="7" fillId="10" borderId="12" xfId="0" applyNumberFormat="1" applyFont="1" applyFill="1" applyBorder="1" applyAlignment="1">
      <x:alignment horizontal="right" vertical="center"/>
    </x:xf>
    <x:xf numFmtId="0" fontId="7" fillId="10" borderId="14" xfId="0" applyNumberFormat="1" applyFont="1" applyFill="1" applyBorder="1" applyAlignment="1">
      <x:alignment horizontal="right" vertical="center"/>
    </x:xf>
    <x:xf numFmtId="0" fontId="7" fillId="10" borderId="15" xfId="0" applyNumberFormat="1" applyFont="1" applyFill="1" applyBorder="1" applyAlignment="1">
      <x:alignment horizontal="right" vertical="center"/>
    </x:xf>
    <x:xf numFmtId="0" fontId="8" fillId="2" borderId="8" xfId="0" applyNumberFormat="1" applyFont="1" applyFill="1" applyBorder="1" applyAlignment="1">
      <x:alignment horizontal="right" vertical="center"/>
    </x:xf>
    <x:xf numFmtId="0" fontId="8" fillId="2" borderId="9" xfId="0" applyNumberFormat="1" applyFont="1" applyFill="1" applyBorder="1" applyAlignment="1">
      <x:alignment horizontal="right" vertical="center"/>
    </x:xf>
    <x:xf numFmtId="202" fontId="7" fillId="10" borderId="11" xfId="0" applyNumberFormat="1" applyFont="1" applyFill="1" applyBorder="1" applyAlignment="1">
      <x:alignment horizontal="right" vertical="center"/>
    </x:xf>
    <x:xf numFmtId="202" fontId="7" fillId="10" borderId="12" xfId="0" applyNumberFormat="1" applyFont="1" applyFill="1" applyBorder="1" applyAlignment="1">
      <x:alignment horizontal="right" vertical="center"/>
    </x:xf>
    <x:xf numFmtId="202" fontId="7" fillId="10" borderId="14" xfId="0" applyNumberFormat="1" applyFont="1" applyFill="1" applyBorder="1" applyAlignment="1">
      <x:alignment horizontal="right" vertical="center"/>
    </x:xf>
    <x:xf numFmtId="202" fontId="7" fillId="10" borderId="15" xfId="0" applyNumberFormat="1" applyFont="1" applyFill="1" applyBorder="1" applyAlignment="1">
      <x:alignment horizontal="right" vertical="center"/>
    </x:xf>
    <x:xf numFmtId="202" fontId="8" fillId="2" borderId="8" xfId="0" applyNumberFormat="1" applyFont="1" applyFill="1" applyBorder="1" applyAlignment="1">
      <x:alignment horizontal="right" vertical="center"/>
    </x:xf>
    <x:xf numFmtId="202" fontId="8" fillId="2" borderId="9" xfId="0" applyNumberFormat="1" applyFont="1" applyFill="1" applyBorder="1" applyAlignment="1">
      <x:alignment horizontal="right" vertical="center"/>
    </x:xf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0" fillId="5" borderId="16" xfId="0" applyNumberFormat="1" applyFont="1" applyFill="1" applyBorder="1"/>
    <x:xf numFmtId="202" fontId="0" fillId="5" borderId="4" xfId="0" applyNumberFormat="1" applyFont="1" applyFill="1" applyBorder="1"/>
    <x:xf numFmtId="202" fontId="0" fillId="5" borderId="5" xfId="0" applyNumberFormat="1" applyFont="1" applyFill="1" applyBorder="1"/>
    <x:xf numFmtId="202" fontId="0" fillId="5" borderId="16" xfId="0" applyNumberFormat="1" applyFont="1" applyFill="1" applyBorder="1"/>
    <x:xf numFmtId="203" fontId="0" fillId="5" borderId="4" xfId="0" applyNumberFormat="1" applyFont="1" applyFill="1" applyBorder="1"/>
    <x:xf numFmtId="203" fontId="0" fillId="5" borderId="5" xfId="0" applyNumberFormat="1" applyFont="1" applyFill="1" applyBorder="1"/>
    <x:xf numFmtId="203" fontId="0" fillId="5" borderId="1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9d9ca618f84b72" /><Relationship Type="http://schemas.openxmlformats.org/officeDocument/2006/relationships/theme" Target="/xl/theme/theme1.xml" Id="R09d02b3d0e334c66" /><Relationship Type="http://schemas.openxmlformats.org/officeDocument/2006/relationships/sharedStrings" Target="/xl/sharedStrings.xml" Id="Rdd424e9a3ccb4d13" /><Relationship Type="http://schemas.openxmlformats.org/officeDocument/2006/relationships/worksheet" Target="/xl/worksheets/sheet1.xml" Id="R7c046f57472d4844" /><Relationship Type="http://schemas.openxmlformats.org/officeDocument/2006/relationships/worksheet" Target="/xl/worksheets/sheet2.xml" Id="Re561614b6c93433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41" hidden="0" customWidth="1"/>
    <x:col min="3" max="3" width="12" hidden="0" customWidth="1"/>
    <x:col min="4" max="4" width="20" hidden="0" customWidth="1"/>
    <x:col min="5" max="5" width="20" hidden="0" customWidth="1"/>
    <x:col min="6" max="6" width="47" hidden="0" customWidth="1"/>
  </x:cols>
  <x:sheetData>
    <x:row r="1" ht="30" customHeight="1">
      <x:c r="A1" s="4" t="str">
        <x:v>PRESUPUESTO ESTIMADO DEL PROYECTO</x:v>
      </x:c>
      <x:c r="B1" s="4"/>
      <x:c r="C1" s="4"/>
      <x:c r="D1" s="4"/>
      <x:c r="E1" s="4"/>
      <x:c r="F1" s="4"/>
    </x:row>
    <x:row r="2" ht="23" customHeight="1">
      <x:c r="A2" s="8" t="str">
        <x:v>BrasiliaTrabaja · Plataforma comunitaria para visibilizar ofertas laborales en Bosa</x:v>
      </x:c>
      <x:c r="B2" s="8"/>
      <x:c r="C2" s="8"/>
      <x:c r="D2" s="8"/>
      <x:c r="E2" s="8"/>
      <x:c r="F2" s="8"/>
    </x:row>
    <x:row r="4" ht="32" customHeight="1">
      <x:c r="A4" s="20" t="str">
        <x:v>Categoría</x:v>
      </x:c>
      <x:c r="B4" s="21" t="str">
        <x:v>Concepto del gasto</x:v>
      </x:c>
      <x:c r="C4" s="21" t="str">
        <x:v>Cantidad</x:v>
      </x:c>
      <x:c r="D4" s="21" t="str">
        <x:v>Costo unitario (COP)</x:v>
      </x:c>
      <x:c r="E4" s="21" t="str">
        <x:v>Costo total (COP)</x:v>
      </x:c>
      <x:c r="F4" s="22" t="str">
        <x:v>Observación</x:v>
      </x:c>
    </x:row>
    <x:row r="5" ht="28" customHeight="1">
      <x:c r="A5" s="56" t="str">
        <x:v>Software y servicios</x:v>
      </x:c>
      <x:c r="B5" s="56" t="str">
        <x:v>Dominio web .com</x:v>
      </x:c>
      <x:c r="C5" s="47" t="n">
        <x:v>1</x:v>
      </x:c>
      <x:c r="D5" s="50" t="n">
        <x:v>60000</x:v>
      </x:c>
      <x:c r="E5" s="51" t="n">
        <x:f>C5*D5</x:f>
        <x:v>60000</x:v>
      </x:c>
      <x:c r="F5" s="56" t="str">
        <x:v>Renovación anual estimada</x:v>
      </x:c>
    </x:row>
    <x:row r="6" ht="28" customHeight="1">
      <x:c r="A6" s="57" t="str">
        <x:v>Software y servicios</x:v>
      </x:c>
      <x:c r="B6" s="57" t="str">
        <x:v>Hosting básico anual</x:v>
      </x:c>
      <x:c r="C6" s="48" t="n">
        <x:v>1</x:v>
      </x:c>
      <x:c r="D6" s="52" t="n">
        <x:v>300000</x:v>
      </x:c>
      <x:c r="E6" s="53" t="n">
        <x:f>C6*D6</x:f>
        <x:v>300000</x:v>
      </x:c>
      <x:c r="F6" s="57" t="str">
        <x:v>Puede sustituirse por hosting gratuito durante el prototipo</x:v>
      </x:c>
    </x:row>
    <x:row r="7" ht="28" customHeight="1">
      <x:c r="A7" s="57" t="str">
        <x:v>Software y servicios</x:v>
      </x:c>
      <x:c r="B7" s="57" t="str">
        <x:v>Microsoft 365 Personal</x:v>
      </x:c>
      <x:c r="C7" s="48" t="n">
        <x:v>1</x:v>
      </x:c>
      <x:c r="D7" s="52" t="n">
        <x:v>369999</x:v>
      </x:c>
      <x:c r="E7" s="53" t="n">
        <x:f>C7*D7</x:f>
        <x:v>369999</x:v>
      </x:c>
      <x:c r="F7" s="57" t="str">
        <x:v>Herramientas de documentos y presentación</x:v>
      </x:c>
    </x:row>
    <x:row r="8" ht="28" customHeight="1">
      <x:c r="A8" s="57" t="str">
        <x:v>Software y servicios</x:v>
      </x:c>
      <x:c r="B8" s="57" t="str">
        <x:v>Herramientas de diseño y recursos digitales</x:v>
      </x:c>
      <x:c r="C8" s="48" t="n">
        <x:v>1</x:v>
      </x:c>
      <x:c r="D8" s="52" t="n">
        <x:v>100000</x:v>
      </x:c>
      <x:c r="E8" s="53" t="n">
        <x:f>C8*D8</x:f>
        <x:v>100000</x:v>
      </x:c>
      <x:c r="F8" s="57" t="str">
        <x:v>Recursos gráficos, plantillas o licencias</x:v>
      </x:c>
    </x:row>
    <x:row r="9" ht="28" customHeight="1">
      <x:c r="A9" s="57" t="str">
        <x:v>Equipos</x:v>
      </x:c>
      <x:c r="B9" s="57" t="str">
        <x:v>Computador portátil</x:v>
      </x:c>
      <x:c r="C9" s="48" t="n">
        <x:v>1</x:v>
      </x:c>
      <x:c r="D9" s="52" t="n">
        <x:v>1800000</x:v>
      </x:c>
      <x:c r="E9" s="53" t="n">
        <x:f>C9*D9</x:f>
        <x:v>1800000</x:v>
      </x:c>
      <x:c r="F9" s="57" t="str">
        <x:v>Equipo principal para diseño y desarrollo</x:v>
      </x:c>
    </x:row>
    <x:row r="10" ht="28" customHeight="1">
      <x:c r="A10" s="57" t="str">
        <x:v>Equipos</x:v>
      </x:c>
      <x:c r="B10" s="57" t="str">
        <x:v>Conexión a internet</x:v>
      </x:c>
      <x:c r="C10" s="48" t="n">
        <x:v>6</x:v>
      </x:c>
      <x:c r="D10" s="52" t="n">
        <x:v>80000</x:v>
      </x:c>
      <x:c r="E10" s="53" t="n">
        <x:f>C10*D10</x:f>
        <x:v>480000</x:v>
      </x:c>
      <x:c r="F10" s="57" t="str">
        <x:v>Seis meses de trabajo</x:v>
      </x:c>
    </x:row>
    <x:row r="11" ht="28" customHeight="1">
      <x:c r="A11" s="57" t="str">
        <x:v>Diseño y desarrollo</x:v>
      </x:c>
      <x:c r="B11" s="57" t="str">
        <x:v>Diseño de interfaz y prototipo</x:v>
      </x:c>
      <x:c r="C11" s="48" t="n">
        <x:v>1</x:v>
      </x:c>
      <x:c r="D11" s="52" t="n">
        <x:v>600000</x:v>
      </x:c>
      <x:c r="E11" s="53" t="n">
        <x:f>C11*D11</x:f>
        <x:v>600000</x:v>
      </x:c>
      <x:c r="F11" s="57" t="str">
        <x:v>Diseño visual y experiencia de usuario</x:v>
      </x:c>
    </x:row>
    <x:row r="12" ht="28" customHeight="1">
      <x:c r="A12" s="57" t="str">
        <x:v>Diseño y desarrollo</x:v>
      </x:c>
      <x:c r="B12" s="57" t="str">
        <x:v>Desarrollo y programación de la plataforma</x:v>
      </x:c>
      <x:c r="C12" s="48" t="n">
        <x:v>1</x:v>
      </x:c>
      <x:c r="D12" s="52" t="n">
        <x:v>1200000</x:v>
      </x:c>
      <x:c r="E12" s="53" t="n">
        <x:f>C12*D12</x:f>
        <x:v>1200000</x:v>
      </x:c>
      <x:c r="F12" s="57" t="str">
        <x:v>HTML, CSS, JavaScript e integración</x:v>
      </x:c>
    </x:row>
    <x:row r="13" ht="28" customHeight="1">
      <x:c r="A13" s="57" t="str">
        <x:v>Diseño y desarrollo</x:v>
      </x:c>
      <x:c r="B13" s="57" t="str">
        <x:v>Pruebas de funcionamiento y usabilidad</x:v>
      </x:c>
      <x:c r="C13" s="48" t="n">
        <x:v>1</x:v>
      </x:c>
      <x:c r="D13" s="52" t="n">
        <x:v>300000</x:v>
      </x:c>
      <x:c r="E13" s="53" t="n">
        <x:f>C13*D13</x:f>
        <x:v>300000</x:v>
      </x:c>
      <x:c r="F13" s="57" t="str">
        <x:v>Validación con usuarios</x:v>
      </x:c>
    </x:row>
    <x:row r="14" ht="28" customHeight="1">
      <x:c r="A14" s="57" t="str">
        <x:v>Investigación</x:v>
      </x:c>
      <x:c r="B14" s="57" t="str">
        <x:v>Impresión de encuestas y formatos</x:v>
      </x:c>
      <x:c r="C14" s="48" t="n">
        <x:v>40</x:v>
      </x:c>
      <x:c r="D14" s="52" t="n">
        <x:v>1500</x:v>
      </x:c>
      <x:c r="E14" s="53" t="n">
        <x:f>C14*D14</x:f>
        <x:v>60000</x:v>
      </x:c>
      <x:c r="F14" s="57" t="str">
        <x:v>Material para recolección de información</x:v>
      </x:c>
    </x:row>
    <x:row r="15" ht="28" customHeight="1">
      <x:c r="A15" s="57" t="str">
        <x:v>Publicidad</x:v>
      </x:c>
      <x:c r="B15" s="57" t="str">
        <x:v>Diseño e impresión de afiches</x:v>
      </x:c>
      <x:c r="C15" s="48" t="n">
        <x:v>10</x:v>
      </x:c>
      <x:c r="D15" s="52" t="n">
        <x:v>12000</x:v>
      </x:c>
      <x:c r="E15" s="53" t="n">
        <x:f>C15*D15</x:f>
        <x:v>120000</x:v>
      </x:c>
      <x:c r="F15" s="57" t="str">
        <x:v>Difusión del proyecto</x:v>
      </x:c>
    </x:row>
    <x:row r="16" ht="28" customHeight="1">
      <x:c r="A16" s="57" t="str">
        <x:v>Publicidad</x:v>
      </x:c>
      <x:c r="B16" s="57" t="str">
        <x:v>Volantes informativos</x:v>
      </x:c>
      <x:c r="C16" s="48" t="n">
        <x:v>100</x:v>
      </x:c>
      <x:c r="D16" s="52" t="n">
        <x:v>1500</x:v>
      </x:c>
      <x:c r="E16" s="53" t="n">
        <x:f>C16*D16</x:f>
        <x:v>150000</x:v>
      </x:c>
      <x:c r="F16" s="57" t="str">
        <x:v>Divulgación en la comunidad</x:v>
      </x:c>
    </x:row>
    <x:row r="17" ht="28" customHeight="1">
      <x:c r="A17" s="57" t="str">
        <x:v>Logística</x:v>
      </x:c>
      <x:c r="B17" s="57" t="str">
        <x:v>Transporte para recolección de información</x:v>
      </x:c>
      <x:c r="C17" s="48" t="n">
        <x:v>10</x:v>
      </x:c>
      <x:c r="D17" s="52" t="n">
        <x:v>15000</x:v>
      </x:c>
      <x:c r="E17" s="53" t="n">
        <x:f>C17*D17</x:f>
        <x:v>150000</x:v>
      </x:c>
      <x:c r="F17" s="57" t="str">
        <x:v>Desplazamientos locales</x:v>
      </x:c>
    </x:row>
    <x:row r="18" ht="28" customHeight="1">
      <x:c r="A18" s="57" t="str">
        <x:v>Logística</x:v>
      </x:c>
      <x:c r="B18" s="57" t="str">
        <x:v>Papelería y materiales</x:v>
      </x:c>
      <x:c r="C18" s="48" t="n">
        <x:v>1</x:v>
      </x:c>
      <x:c r="D18" s="52" t="n">
        <x:v>80000</x:v>
      </x:c>
      <x:c r="E18" s="53" t="n">
        <x:f>C18*D18</x:f>
        <x:v>80000</x:v>
      </x:c>
      <x:c r="F18" s="57" t="str">
        <x:v>Útiles y elementos de presentación</x:v>
      </x:c>
    </x:row>
    <x:row r="19" ht="28" customHeight="1">
      <x:c r="A19" s="57" t="str">
        <x:v>Software y servicios</x:v>
      </x:c>
      <x:c r="B19" s="57" t="str">
        <x:v>Firebase - plan inicial</x:v>
      </x:c>
      <x:c r="C19" s="48" t="n">
        <x:v>12</x:v>
      </x:c>
      <x:c r="D19" s="52" t="n">
        <x:v>0</x:v>
      </x:c>
      <x:c r="E19" s="53" t="n">
        <x:f>C19*D19</x:f>
        <x:v>0</x:v>
      </x:c>
      <x:c r="F19" s="57" t="str">
        <x:v>El plan gratuito puede cubrir el prototipo</x:v>
      </x:c>
    </x:row>
    <x:row r="20" ht="28" customHeight="1">
      <x:c r="A20" s="57" t="str">
        <x:v>Software y servicios</x:v>
      </x:c>
      <x:c r="B20" s="57" t="str">
        <x:v>Certificado SSL</x:v>
      </x:c>
      <x:c r="C20" s="48" t="n">
        <x:v>1</x:v>
      </x:c>
      <x:c r="D20" s="52" t="n">
        <x:v>0</x:v>
      </x:c>
      <x:c r="E20" s="53" t="n">
        <x:f>C20*D20</x:f>
        <x:v>0</x:v>
      </x:c>
      <x:c r="F20" s="57" t="str">
        <x:v>Normalmente incluido con el hosting</x:v>
      </x:c>
    </x:row>
    <x:row r="21" ht="28" customHeight="1">
      <x:c r="A21" s="57" t="str">
        <x:v>Operación</x:v>
      </x:c>
      <x:c r="B21" s="57" t="str">
        <x:v>Copias de seguridad y almacenamiento</x:v>
      </x:c>
      <x:c r="C21" s="48" t="n">
        <x:v>12</x:v>
      </x:c>
      <x:c r="D21" s="52" t="n">
        <x:v>20000</x:v>
      </x:c>
      <x:c r="E21" s="53" t="n">
        <x:f>C21*D21</x:f>
        <x:v>240000</x:v>
      </x:c>
      <x:c r="F21" s="57" t="str">
        <x:v>Estimación mensual</x:v>
      </x:c>
    </x:row>
    <x:row r="22" ht="28" customHeight="1">
      <x:c r="A22" s="57" t="str">
        <x:v>Operación</x:v>
      </x:c>
      <x:c r="B22" s="57" t="str">
        <x:v>Mantenimiento y actualización</x:v>
      </x:c>
      <x:c r="C22" s="48" t="n">
        <x:v>3</x:v>
      </x:c>
      <x:c r="D22" s="52" t="n">
        <x:v>150000</x:v>
      </x:c>
      <x:c r="E22" s="53" t="n">
        <x:f>C22*D22</x:f>
        <x:v>450000</x:v>
      </x:c>
      <x:c r="F22" s="57" t="str">
        <x:v>Tres jornadas posteriores a la entrega</x:v>
      </x:c>
    </x:row>
    <x:row r="23" ht="28" customHeight="1">
      <x:c r="A23" s="57" t="str">
        <x:v>Operación</x:v>
      </x:c>
      <x:c r="B23" s="57" t="str">
        <x:v>Capacitación y manual de uso</x:v>
      </x:c>
      <x:c r="C23" s="48" t="n">
        <x:v>1</x:v>
      </x:c>
      <x:c r="D23" s="52" t="n">
        <x:v>150000</x:v>
      </x:c>
      <x:c r="E23" s="53" t="n">
        <x:f>C23*D23</x:f>
        <x:v>150000</x:v>
      </x:c>
      <x:c r="F23" s="57" t="str">
        <x:v>Orientación para candidatos y empleadores</x:v>
      </x:c>
    </x:row>
    <x:row r="24" ht="28" customHeight="1">
      <x:c r="A24" s="58" t="str">
        <x:v>Contingencia</x:v>
      </x:c>
      <x:c r="B24" s="58" t="str">
        <x:v>Reserva para imprevistos (10%)</x:v>
      </x:c>
      <x:c r="C24" s="49" t="n">
        <x:v>0.1</x:v>
      </x:c>
      <x:c r="D24" s="54" t="n">
        <x:f>SUM(E5:E23)</x:f>
        <x:v>6609999</x:v>
      </x:c>
      <x:c r="E24" s="54" t="n">
        <x:f>C24*D24</x:f>
        <x:v>660999.9</x:v>
      </x:c>
      <x:c r="F24" s="58" t="str">
        <x:v>Calculada sobre el subtotal base</x:v>
      </x:c>
    </x:row>
    <x:row r="25" ht="28" customHeight="1">
      <x:c r="A25" s="59" t="str">
        <x:v>TOTAL GENERAL</x:v>
      </x:c>
      <x:c r="B25" s="60"/>
      <x:c r="C25" s="40"/>
      <x:c r="D25" s="55"/>
      <x:c r="E25" s="55" t="n">
        <x:f>SUM(E5:E24)</x:f>
        <x:v>7270998.9</x:v>
      </x:c>
      <x:c r="F25" s="61" t="str">
        <x:v>Incluye reserva del 10%</x:v>
      </x:c>
    </x:row>
    <x:row r="26">
      <x:c r="F26" s="62"/>
    </x:row>
    <x:row r="27" ht="38" customHeight="1">
      <x:c r="A27" s="46" t="str">
        <x:v>Nota: Los valores originales provienen del cuadro suministrado. Los rubros agregados son estimaciones y pueden ajustarse según cotizaciones reales.</x:v>
      </x:c>
      <x:c r="B27" s="46"/>
      <x:c r="C27" s="46"/>
      <x:c r="D27" s="46"/>
      <x:c r="E27" s="46"/>
      <x:c r="F27" s="46"/>
    </x:row>
  </x:sheetData>
  <x:mergeCells>
    <x:mergeCell ref="A1:F1"/>
    <x:mergeCell ref="A2:F2"/>
    <x:mergeCell ref="A25:D25"/>
    <x:mergeCell ref="A27:F2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3" hidden="0" customWidth="1"/>
    <x:col min="3" max="3" width="17" hidden="0" customWidth="1"/>
    <x:col min="4" max="4" width="17" hidden="0" customWidth="1"/>
  </x:cols>
  <x:sheetData>
    <x:row r="1" ht="30" customHeight="1">
      <x:c r="A1" s="4" t="str">
        <x:v>RESUMEN DEL PRESUPUESTO</x:v>
      </x:c>
      <x:c r="B1" s="4"/>
      <x:c r="C1" s="4"/>
      <x:c r="D1" s="4"/>
    </x:row>
    <x:row r="2">
      <x:c r="A2" s="7" t="str">
        <x:v>BrasiliaTrabaja · Cifras estimadas en pesos colombianos</x:v>
      </x:c>
      <x:c r="B2" s="7"/>
      <x:c r="C2" s="7"/>
      <x:c r="D2" s="7"/>
    </x:row>
    <x:row r="4" ht="30" customHeight="1">
      <x:c r="A4" s="71" t="str">
        <x:v>Subtotal base</x:v>
      </x:c>
      <x:c r="B4" s="72"/>
      <x:c r="C4" s="90" t="n">
        <x:f>'Presupuesto'!D24</x:f>
        <x:v>6609999</x:v>
      </x:c>
      <x:c r="D4" s="91"/>
    </x:row>
    <x:row r="5" ht="30" customHeight="1">
      <x:c r="A5" s="74" t="str">
        <x:v>Reserva para imprevistos</x:v>
      </x:c>
      <x:c r="B5" s="75"/>
      <x:c r="C5" s="92" t="n">
        <x:f>'Presupuesto'!E24</x:f>
        <x:v>660999.9</x:v>
      </x:c>
      <x:c r="D5" s="93"/>
    </x:row>
    <x:row r="6" ht="30" customHeight="1">
      <x:c r="A6" s="81" t="str">
        <x:v>TOTAL GENERAL</x:v>
      </x:c>
      <x:c r="B6" s="82"/>
      <x:c r="C6" s="94" t="n">
        <x:f>'Presupuesto'!E25</x:f>
        <x:v>7270998.9</x:v>
      </x:c>
      <x:c r="D6" s="95"/>
    </x:row>
    <x:row r="9">
      <x:c r="A9" s="96" t="str">
        <x:v>Categoría</x:v>
      </x:c>
      <x:c r="B9" s="97" t="str">
        <x:v>Costo total (COP)</x:v>
      </x:c>
      <x:c r="C9" s="98" t="str">
        <x:v>Participación</x:v>
      </x:c>
    </x:row>
    <x:row r="10">
      <x:c r="A10" s="24" t="str">
        <x:v>Software y servicios</x:v>
      </x:c>
      <x:c r="B10" s="100" t="n">
        <x:f>SUMIF('Presupuesto'!$A$5:$A$24,A10,'Presupuesto'!$E$5:$E$24)</x:f>
        <x:v>829999</x:v>
      </x:c>
      <x:c r="C10" s="103" t="n">
        <x:f>B10/'Presupuesto'!$E$25</x:f>
        <x:v>0.11415199086331865</x:v>
      </x:c>
    </x:row>
    <x:row r="11">
      <x:c r="A11" s="25" t="str">
        <x:v>Equipos</x:v>
      </x:c>
      <x:c r="B11" s="101" t="n">
        <x:f>SUMIF('Presupuesto'!$A$5:$A$24,A11,'Presupuesto'!$E$5:$E$24)</x:f>
        <x:v>2280000</x:v>
      </x:c>
      <x:c r="C11" s="104" t="n">
        <x:f>B11/'Presupuesto'!$E$25</x:f>
        <x:v>0.3135745213769734</x:v>
      </x:c>
    </x:row>
    <x:row r="12">
      <x:c r="A12" s="25" t="str">
        <x:v>Diseño y desarrollo</x:v>
      </x:c>
      <x:c r="B12" s="101" t="n">
        <x:f>SUMIF('Presupuesto'!$A$5:$A$24,A12,'Presupuesto'!$E$5:$E$24)</x:f>
        <x:v>2100000</x:v>
      </x:c>
      <x:c r="C12" s="104" t="n">
        <x:f>B12/'Presupuesto'!$E$25</x:f>
        <x:v>0.28881863811037023</x:v>
      </x:c>
    </x:row>
    <x:row r="13">
      <x:c r="A13" s="25" t="str">
        <x:v>Investigación</x:v>
      </x:c>
      <x:c r="B13" s="101" t="n">
        <x:f>SUMIF('Presupuesto'!$A$5:$A$24,A13,'Presupuesto'!$E$5:$E$24)</x:f>
        <x:v>60000</x:v>
      </x:c>
      <x:c r="C13" s="104" t="n">
        <x:f>B13/'Presupuesto'!$E$25</x:f>
        <x:v>0.00825196108886772</x:v>
      </x:c>
    </x:row>
    <x:row r="14">
      <x:c r="A14" s="25" t="str">
        <x:v>Publicidad</x:v>
      </x:c>
      <x:c r="B14" s="101" t="n">
        <x:f>SUMIF('Presupuesto'!$A$5:$A$24,A14,'Presupuesto'!$E$5:$E$24)</x:f>
        <x:v>270000</x:v>
      </x:c>
      <x:c r="C14" s="104" t="n">
        <x:f>B14/'Presupuesto'!$E$25</x:f>
        <x:v>0.037133824899904744</x:v>
      </x:c>
    </x:row>
    <x:row r="15">
      <x:c r="A15" s="25" t="str">
        <x:v>Logística</x:v>
      </x:c>
      <x:c r="B15" s="101" t="n">
        <x:f>SUMIF('Presupuesto'!$A$5:$A$24,A15,'Presupuesto'!$E$5:$E$24)</x:f>
        <x:v>230000</x:v>
      </x:c>
      <x:c r="C15" s="104" t="n">
        <x:f>B15/'Presupuesto'!$E$25</x:f>
        <x:v>0.03163251750732626</x:v>
      </x:c>
    </x:row>
    <x:row r="16">
      <x:c r="A16" s="25" t="str">
        <x:v>Operación</x:v>
      </x:c>
      <x:c r="B16" s="101" t="n">
        <x:f>SUMIF('Presupuesto'!$A$5:$A$24,A16,'Presupuesto'!$E$5:$E$24)</x:f>
        <x:v>840000</x:v>
      </x:c>
      <x:c r="C16" s="104" t="n">
        <x:f>B16/'Presupuesto'!$E$25</x:f>
        <x:v>0.11552745524414809</x:v>
      </x:c>
    </x:row>
    <x:row r="17">
      <x:c r="A17" s="99" t="str">
        <x:v>Contingencia</x:v>
      </x:c>
      <x:c r="B17" s="102" t="n">
        <x:f>SUMIF('Presupuesto'!$A$5:$A$24,A17,'Presupuesto'!$E$5:$E$24)</x:f>
        <x:v>660999.9</x:v>
      </x:c>
      <x:c r="C17" s="105" t="n">
        <x:f>B17/'Presupuesto'!$E$25</x:f>
        <x:v>0.09090909090909091</x:v>
      </x:c>
    </x:row>
    <x:row r="19" ht="42" customHeight="1">
      <x:c r="A19" s="45" t="str">
        <x:v>Los valores pueden cambiar cuando se obtengan cotizaciones definitivas. Las celdas amarillas de la hoja Presupuesto son los datos que se pueden editar.</x:v>
      </x:c>
      <x:c r="B19" s="45"/>
      <x:c r="C19" s="45"/>
    </x:row>
  </x:sheetData>
  <x:mergeCells>
    <x:mergeCell ref="A1:D1"/>
    <x:mergeCell ref="A2:D2"/>
    <x:mergeCell ref="A4:B4"/>
    <x:mergeCell ref="C4:D4"/>
    <x:mergeCell ref="A5:B5"/>
    <x:mergeCell ref="C5:D5"/>
    <x:mergeCell ref="A6:B6"/>
    <x:mergeCell ref="C6:D6"/>
    <x:mergeCell ref="A19:C19"/>
  </x:mergeCells>
  <x:pageMargins left="0.7" right="0.7" top="0.75" bottom="0.75" header="0.3" footer="0.3"/>
</x:worksheet>
</file>